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sterDisplay" sheetId="1" r:id="rId5"/>
    <sheet state="visible" name="ApprovedTeams" sheetId="2" r:id="rId6"/>
    <sheet state="visible" name="PendingApplications" sheetId="3" r:id="rId7"/>
    <sheet state="visible" name="Captains" sheetId="4" r:id="rId8"/>
  </sheets>
  <definedNames/>
  <calcPr/>
</workbook>
</file>

<file path=xl/sharedStrings.xml><?xml version="1.0" encoding="utf-8"?>
<sst xmlns="http://schemas.openxmlformats.org/spreadsheetml/2006/main" count="261" uniqueCount="168">
  <si>
    <t>Creator Cup Rosters</t>
  </si>
  <si>
    <t>geeg — Valorant</t>
  </si>
  <si>
    <t>GuildId</t>
  </si>
  <si>
    <t>Potential — Valorant</t>
  </si>
  <si>
    <t>TeamId</t>
  </si>
  <si>
    <t>the almond joys — Valorant</t>
  </si>
  <si>
    <t>ApplicationId</t>
  </si>
  <si>
    <t>Game</t>
  </si>
  <si>
    <t>CaptainDiscordId</t>
  </si>
  <si>
    <t>CaptainTag</t>
  </si>
  <si>
    <t>TeamName</t>
  </si>
  <si>
    <t>League</t>
  </si>
  <si>
    <t>jafzai#0000</t>
  </si>
  <si>
    <t>RoleId</t>
  </si>
  <si>
    <t>Status</t>
  </si>
  <si>
    <t>ChannelId</t>
  </si>
  <si>
    <t>SubmittedAtEpoch</t>
  </si>
  <si>
    <t>VoiceChannelId</t>
  </si>
  <si>
    <t>valorant</t>
  </si>
  <si>
    <t>StaffChannelId</t>
  </si>
  <si>
    <t>ApprovedAtEpoch</t>
  </si>
  <si>
    <t>StaffMessageId</t>
  </si>
  <si>
    <t>SourceApplicationId</t>
  </si>
  <si>
    <t>Valorant</t>
  </si>
  <si>
    <t>ScreenshotUrl</t>
  </si>
  <si>
    <t>frausto.#0000</t>
  </si>
  <si>
    <t>Members</t>
  </si>
  <si>
    <t>MainPlayers</t>
  </si>
  <si>
    <t>be5bda6e-c5cf-48fc-8fdf-03a6afae26d9</t>
  </si>
  <si>
    <t>Substitutes</t>
  </si>
  <si>
    <t>c32002b0-621</t>
  </si>
  <si>
    <t>the almond joys</t>
  </si>
  <si>
    <t>proballer821#0000</t>
  </si>
  <si>
    <t>almondfps#0000</t>
  </si>
  <si>
    <t>test</t>
  </si>
  <si>
    <t>d15da390-aaf</t>
  </si>
  <si>
    <t>APPROVED</t>
  </si>
  <si>
    <t>769605102264254494|playn with toes#toes|https://tracker.gg/valorant/profile/riot/playn%20with%20toes%23toes/performance?platform=pc&amp;playlist=competitive&amp;season=4f0864e2-40af-28a4-de2c-0e9e64e75f23;;485853170526978059|Coach Lobster#Coach|https://tracker.gg/valorant/profile/riot/Coach%20Lobster%23Coach/performance?platform=pc&amp;playlist=competitive&amp;season=4f0864e2-40af-28a4-de2c-0e9e64e75f23;;451181284526653466|almond#wayly|https://tracker.gg/valorant/profile/riot/almond%23wayly/customs?platform=pc&amp;playlist=competitive&amp;season=4f0864e2-40af-28a4-de2c-0e9e64e75f23;;123933283024240640|Sa1ty#123|https://tracker.gg/valorant/profile/riot/Sa1ty%23123/performance?platform=pc&amp;playlist=competitive&amp;season=4f0864e2-40af-28a4-de2c-0e9e64e75f23;;562740710978224132|skytookie#sub|https://tracker.gg/valorant/profile/riot/skytookie%23sub/performance?platform=pc&amp;playlist=competitive&amp;season=4f0864e2-40af-28a4-de2c-0e9e64e75f23</t>
  </si>
  <si>
    <t>51d2e004-561f-4075-97df-84285b702359</t>
  </si>
  <si>
    <t>https://x.com/fraustoML/status/2052070906873401409/photo/1</t>
  </si>
  <si>
    <t>geeg</t>
  </si>
  <si>
    <t>milkteaboards#0000</t>
  </si>
  <si>
    <t>71d37913-814</t>
  </si>
  <si>
    <t>181933843555680256|koow|https://tracker.gg/valorant/profile/riot/madge%23koow/overview?platform=pc&amp;playlist=competitive&amp;season=4f0864e2-40af-28a4-de2c-0e9e64e75f23;;447769639808663572|zxru#lax|https://tracker.gg/valorant/profile/riot/Zxru%23lax/overview?platform=pc&amp;playlist=competitive&amp;season=4f0864e2-40af-28a4-de2c-0e9e64e75f23;;295069767012843520|hika hika hika hika|https://tracker.gg/valorant/profile/riot/%EF%BC%A8%EF%BC%A9%EF%BC%AB%EF%BC%A1%EF%BC%A8%EF%BC%A9%EF%BC%AB%EF%BC%A1%EF%BC%A8%EF%BC%A9%EF%BC%AB%EF%BC%A1%EF%BC%A8%EF%BC%A9%EF%BC%AB%EF%BC%A1%23kari/overview?platform=pc&amp;playlist=competitive&amp;season=4f0864e2-40af-28a4-de2c-0e9e64e75f23;;449007441284169729|xixi|https://tracker.gg/valorant/profile/riot/xixi%230830/overview?platform=pc&amp;playlist=swiftplay&amp;season=4f0864e2-40af-28a4-de2c-0e9e64e75f23;;214363757382467584|aus#mtb|https://tracker.gg/valorant/profile/riot/aus%23MTB/overview</t>
  </si>
  <si>
    <t>0b619ade-d692-47f2-a780-37ebc9bb5ad4</t>
  </si>
  <si>
    <t>Potential</t>
  </si>
  <si>
    <t>agoldomen_#0000</t>
  </si>
  <si>
    <t>d9e11258-cbc</t>
  </si>
  <si>
    <t>205842214151127040|A Gold Omen#rat|https://tracker.gg/valorant/profile/riot/A%20Gold%20Omen%23rat/overview;;238116566472851459|ComputerUser#1313|https://tracker.gg/valorant/profile/riot/ComputerUser%231313/overview?platform=pc&amp;playlist=competitive&amp;season=4f0864e2-40af-28a4-de2c-0e9e64e75f23;;410506914791686164|Abivial#Faust|https://tracker.gg/valorant/profile/riot/Abivial%23Faust/overview?playlist=competitive&amp;platform=pc&amp;season=4f0864e2-40af-28a4-de2c-0e9e64e75f23;;172476966258081794|OmegaRafy3#5421|https://tracker.gg/valorant/profile/riot/OmegaRafy3%235421/overview?platform=pc&amp;playlist=competitive&amp;season=4f0864e2-40af-28a4-de2c-0e9e64e75f23;;1176518866214592543|Fauster#Abi|https://tracker.gg/valorant/profile/riot/fauster%23abi/overview?platform=pc&amp;playlist=competitive&amp;season=4f0864e2-40af-28a4-de2c-0e9e64e75f23;;821507287804936262|jelly time#3333|https://tracker.gg/valorant/profile/riot/jellytime%233333/overview?platform=pc&amp;playlist=competitive&amp;season=4f0864e2-40af-28a4-de2c-0e9e64e75f23</t>
  </si>
  <si>
    <t>422622607804727306|brah brah|twitch.tv/revrzd;;151091055465332738|brah brah|twitch.tv/revrzd;;384048665045499905|brah brah|twitch.tv/revrzd;;316043245056557057|brah brah|twitch.tv/revrzd;;456204198875496451|brah brah|twitch.tv/revrzd</t>
  </si>
  <si>
    <t>8ebdaa33-888</t>
  </si>
  <si>
    <t>DENIED</t>
  </si>
  <si>
    <t>https://x.com/e3c6b9ad-364a-427e-9291-ef61fb701110</t>
  </si>
  <si>
    <t>422622607804727306|frausto chan#chaos|https://tracker.gg/valorant/profile/riot/sandtose%239610/overview?playlist=premier&amp;platform=pc;;151091055465332738|fnkanf|https://tracker.gg/valorant/profile/riot/vicesippy%23BIGT/overview?playlist=premier&amp;platform=pc;;384048665045499905|faf|https://tracker.gg/valorant/profile/riot/frausto%20chan%23chaos/overview?playlist=premier&amp;platform=pc;;316043245056557057|fd|https://tracker.gg/valorant/profile/riot/musicalchaosxx%23fraus/overview?playlist=premier&amp;platform=pc;;456204198875496451|fa|https://tracker.gg/valorant/profile/riot/SeijinTea%23TTV/overview?playlist=premier&amp;platform=pc</t>
  </si>
  <si>
    <t>659304939587371028|fadfa|https://tracker.gg/valorant/profile/riot/SeijinTea%23TTV/overview?playlist=premier&amp;platform=pc;;410599635078348801|aff|https://tracker.gg/valorant/profile/riot/SeijinTea%23TTV/overview?playlist=premier&amp;platform=pc</t>
  </si>
  <si>
    <t>326bd686-767</t>
  </si>
  <si>
    <t>4a0bece1-8fa</t>
  </si>
  <si>
    <t>test cc</t>
  </si>
  <si>
    <t>https://ctrlv.link/lDej</t>
  </si>
  <si>
    <t>422622607804727306|frausto chan#chaos|https://tracker.gg/valorant/profile/riot/sandtose%239610/overview?playlist=premier&amp;platform=pc;;151091055465332738|fadf|https://tracker.gg/valorant/profile/riot/sandtose%239610/overview?playlist=premier&amp;platform=pc;;384048665045499905|afadfa|https://tracker.gg/valorant/profile/riot/sandtose%239610/overview?playlist=premier&amp;platform=pc;;456204198875496451|afgaaf|https://tracker.gg/valorant/profile/riot/sandtose%239610/overview?playlist=premier&amp;platform=pc;;316043245056557057|fafa|https://tracker.gg/valorant/profile/riot/sandtose%239610/overview?playlist=premier&amp;platform=pc</t>
  </si>
  <si>
    <t>659304939587371028|adfad|https://tracker.gg/valorant/profile/riot/sandtose%239610/overview?playlist=premier&amp;platform=pc;;410599635078348801|faf|https://tracker.gg/valorant/profile/riot/sandtose%239610/overview?playlist=premier&amp;platform=pc</t>
  </si>
  <si>
    <t>07656da0-ea9</t>
  </si>
  <si>
    <t>MonkeyLovers</t>
  </si>
  <si>
    <t>https://www.bisecthosting.com/_ipx/q_100&amp;s_123x126/static/img/game-assets/misc/minecraft/packages/one/vanilla-5.webp</t>
  </si>
  <si>
    <t>384048665045499905|jafzai#afk|www.google.com;;422622607804727306|somebs|www.google.com;;151091055465332738|somebs|www.google.com;;316043245056557057|somebs|www.google.com;;242413962006757376|somebs|www.google.com</t>
  </si>
  <si>
    <t>d798d995-341</t>
  </si>
  <si>
    <t>Triple T's Sahurs</t>
  </si>
  <si>
    <t>https://imgur.com/a/qWmUOK4</t>
  </si>
  <si>
    <t>214363757382467584|aus#MTB|https://tracker.gg/valorant/profile/riot/aus%23MTB/overview?platform=pc&amp;playlist=competitive&amp;season=ce2783e8-44fc-dd48-3da3-33b5ba6c4a22;;449007441284169729|xixi#0830|https://tracker.gg/valorant/profile/riot/xixi%230830/overview?platform=pc&amp;playlist=competitive&amp;season=ce2783e8-44fc-dd48-3da3-33b5ba6c4a22;;291343564154077194|carp#444|https://tracker.gg/valorant/profile/riot/carp%23444/overview?platform=pc&amp;playlist=competitive&amp;season=ce2783e8-44fc-dd48-3da3-33b5ba6c4a22;;330517156427202562|Sleepy Femboy#rawr|https://tracker.gg/valorant/profile/riot/Sleepy%20Femboy%23rawr/overview?platform=pc&amp;playlist=competitive&amp;season=ce2783e8-44fc-dd48-3da3-33b5ba6c4a22;;181933843555680256|madge#koow|https://tracker.gg/valorant/profile/riot/madge%23koow/overview?platform=pc&amp;playlist=competitive&amp;season=ce2783e8-44fc-dd48-3da3-33b5ba6c4a22</t>
  </si>
  <si>
    <t>99d147fd-567</t>
  </si>
  <si>
    <t>The Almond Joys</t>
  </si>
  <si>
    <t>https://cdn.discordapp.com/attachments/779523238077399061/1507817052541554848/image.png?ex=6a13478f&amp;is=6a11f60f&amp;hm=40e976f25026e0338316b18aec1bf7de391725bbda500f4720c4122c36e4f29f&amp;</t>
  </si>
  <si>
    <t>451181284526653466|im still shining#almor|https://tracker.gg/valorant/profile/riot/im%20still%20shining%23almor/overview?platform=pc&amp;playlist=competitive&amp;season=ce2783e8-44fc-dd48-3da3-33b5ba6c4a22;;485853170526978059|Coach Lobster#Coach|https://tracker.gg/valorant/profile/riot/Coach%20Lobster%23Coach/overview?platform=pc&amp;playlist=competitive&amp;season=ce2783e8-44fc-dd48-3da3-33b5ba6c4a22;;769605102264254494|playn with toes#toes|https://tracker.gg/valorant/profile/riot/playn%20with%20toes%23toes/overview?platform=pc&amp;playlist=competitive&amp;season=ce2783e8-44fc-dd48-3da3-33b5ba6c4a22;;123933283024240640|Sa1ty#123|https://tracker.gg/valorant/profile/riot/Sa1ty%23123/overview?platform=pc&amp;playlist=competitive&amp;season=ce2783e8-44fc-dd48-3da3-33b5ba6c4a22;;562740710978224132|skytookie#sub|https://tracker.gg/valorant/profile/riot/skytookie%23sub/overview?platform=pc&amp;playlist=competitive&amp;season=ce2783e8-44fc-dd48-3da3-33b5ba6c4a22</t>
  </si>
  <si>
    <t>f4db3ff7-7af</t>
  </si>
  <si>
    <t>Monkey Lovers</t>
  </si>
  <si>
    <t>kaleiydo#0000</t>
  </si>
  <si>
    <t>https://imgur.com/a/63atIpi</t>
  </si>
  <si>
    <t>316043245056557057|kaleiydo#scope|https://tracker.gg/valorant/profile/riot/kaleiydo%23scope;;456204198875496451|SeijinTea#TTV|https://tracker.gg/valorant/profile/riot/SeijinTea%23TTV;;659304939587371028|sandtose#9610|https://tracker.gg/valorant/profile/riot/sandtose%239610;;410599635078348801|ML revrzd#gato|https://tracker.gg/valorant/profile/riot/ML%20revrzd%23gato;;151091055465332738|josepi#jac|https://tracker.gg/valorant/profile/riot/josepi%23jac</t>
  </si>
  <si>
    <t>242413962006757376|vicesippy#BIGT|https://tracker.gg/valorant/profile/riot/vicesippy%23BIGT</t>
  </si>
  <si>
    <t>2b6bcb78-5f8</t>
  </si>
  <si>
    <t>Elements of Harmony</t>
  </si>
  <si>
    <t>ttinybones#0000</t>
  </si>
  <si>
    <t>https://ctrlv.link/4pBM</t>
  </si>
  <si>
    <t>348282324770750464|Tekkni#Shoot|https://tracker.gg/valorant/profile/riot/Tekkni%23Shoot/overview?platform=pc&amp;playlist=competitive&amp;season=ce2783e8-44fc-dd48-3da3-33b5ba6c4a22;;1450653796110831747|Zalphine#Snort|https://tracker.gg/valorant/profile/riot/Zalphine%23Snort/overview?platform=pc&amp;playlist=competitive&amp;season=ce2783e8-44fc-dd48-3da3-33b5ba6c4a22;;296825618824429578|BangBang#Panda|https://tracker.gg/valorant/profile/riot/BangBang%23Panda/overview?platform=pc&amp;playlist=competitive&amp;season=ce2783e8-44fc-dd48-3da3-33b5ba6c4a22;;654915748447256597|thecanadiancooki#SKZ|https://tracker.gg/valorant/profile/riot/thecanadiancooki%23SKZ/overview?playlist=competitive&amp;platform=pc&amp;season=ce2783e8-44fc-dd48-3da3-33b5ba6c4a22;;396175919393406976|QOR ttinybones#AAAAA|https://tracker.gg/valorant/profile/riot/QOR%20ttinybones%23AAAAA/overview?platform=pc&amp;playlist=competitive&amp;season=ce2783e8-44fc-dd48-3da3-33b5ba6c4a22</t>
  </si>
  <si>
    <t>778826761240051742|Jane Doe#ChitZ|https://tracker.gg/valorant/profile/riot/Jane%20Doe%23ChitZ/overview?platform=pc&amp;playlist=competitive&amp;season=ce2783e8-44fc-dd48-3da3-33b5ba6c4a22</t>
  </si>
  <si>
    <t>fa27d4cb-601</t>
  </si>
  <si>
    <t>Broccoli Bunch 2.0</t>
  </si>
  <si>
    <t>ermily#0000</t>
  </si>
  <si>
    <t>PENDING</t>
  </si>
  <si>
    <t>http.I cant add the ss idk why so lolololol im sorry fruasto but ong we're 10 points under</t>
  </si>
  <si>
    <t>598364704108314657|ermillyy#brcli|https://tracker.gg/valorant/profile/riot/ermillyy%23brcli/overview?platform=pc&amp;playlist=competitive&amp;season=ce2783e8-44fc-dd48-3da3-33b5ba6c4a22;;758424942571946004|arasaka#cybr|https://tracker.gg/valorant/profile/riot/Arasaka%23cybr/overview?platform=pc&amp;playlist=competitive&amp;season=3ea2b318-423b-cf86-25da-7cbb0eefbe2d;;654127237657919492|dinghy#rat|https://tracker.gg/valorant/profile/riot/Dinghy%23rat/overview?platform=pc&amp;playlist=competitive&amp;season=3ea2b318-423b-cf86-25da-7cbb0eefbe2d;;531983219310985218|cursidd#curse|https://tracker.gg/valorant/profile/riot/cursidd%23curse/performance?platform=pc&amp;playlist=competitive;;118881466590560256|shiny umbreon#bong|https://tracker.gg/valorant/profile/riot/shiny%20umbreon%23bong/overview?platform=pc&amp;playlist=swiftplay&amp;season=ce2783e8-44fc-dd48-3da3-33b5ba6c4a22</t>
  </si>
  <si>
    <t>270617422296252416|staroak1949#na10|https://tracker.gg/valorant/profile/riot/Staroak1949%23NA10/overview?platform=pc&amp;playlist=competitive&amp;season=ce2783e8-44fc-dd48-3da3-33b5ba6c4a22</t>
  </si>
  <si>
    <t>fb5986af-e72</t>
  </si>
  <si>
    <t>MENAces</t>
  </si>
  <si>
    <t>hamouduh#0000</t>
  </si>
  <si>
    <t>https://ctrlv.link/8Jvx</t>
  </si>
  <si>
    <t>430184815304638465|QOR hamouduh #Syria|https://tracker.gg/valorant/profile/riot/QOR%20hamouduh%23Syria/overview?platform=pc&amp;playlist=competitive&amp;season=9d85c932-4820-c060-09c3-668636d4df1b;;420021489228578827|singularity#kiwi|https://tracker.gg/valorant/profile/riot/singularity%23kiwi/overview?platform=pc&amp;playlist=competitive&amp;season=ce2783e8-44fc-dd48-3da3-33b5ba6c4a22;;293150441225715713|olivegrovepapi#ttv|https://tracker.gg/valorant/profile/riot/olivegrovepapi%23ttv/overview?platform=pc&amp;playlist=competitive&amp;season=ce2783e8-44fc-dd48-3da3-33b5ba6c4a22;;317436282446020620|DoctorMoesy#TTV|https://tracker.gg/valorant/profile/riot/DoctorMoesy%23TTV/overview?platform=pc&amp;playlist=competitive&amp;season=ce2783e8-44fc-dd48-3da3-33b5ba6c4a22;;653027480344461333|m0ld#dems|https://tracker.gg/valorant/profile/riot/m0ld%23dems/overview?platform=pc&amp;playlist=competitive&amp;season=ce2783e8-44fc-dd48-3da3-33b5ba6c4a22</t>
  </si>
  <si>
    <t>759264144162684968|navi#look|https://tracker.gg/valorant/profile/riot/navi%23look/overview?platform=pc&amp;playlist=competitive&amp;season=ce2783e8-44fc-dd48-3da3-33b5ba6c4a22;;355467888834117642|shawarma#xtoum|https://tracker.gg/valorant/profile/riot/shawarma%23xtoum/encounters?platform=pc&amp;playlist=competitive&amp;season=ce2783e8-44fc-dd48-3da3-33b5ba6c4a22</t>
  </si>
  <si>
    <t>7c646e76-029</t>
  </si>
  <si>
    <t>valorant enjoyers</t>
  </si>
  <si>
    <t>daeunnie#0000</t>
  </si>
  <si>
    <t>https://docs.google.com/spreadsheets/d/1n-0y-DnbrirYjZWcj-lv5K1X5woWmQYcieGg8QFCUxo/edit?usp=sharing</t>
  </si>
  <si>
    <t>749508102931611718|ekittenuwuboy67#lumei|https://tracker.gg/valorant/profile/riot/ekittenuwuboy67%23lumei/overview?platform=pc&amp;playlist=premier&amp;season=ce2783e8-44fc-dd48-3da3-33b5ba6c4a22;;656442114657484800|happycamper#1018|https://tracker.gg/valorant/profile/riot/happycamper%231018/overview?platform=pc&amp;playlist=competitive&amp;season=ce2783e8-44fc-dd48-3da3-33b5ba6c4a22;;440169537946779664|laki#plays|https://tracker.gg/valorant/profile/riot/laki%23plays/overview?platform=pc&amp;playlist=competitive&amp;season=ce2783e8-44fc-dd48-3da3-33b5ba6c4a22;;560949177702547481|juicebox#kitty|https://tracker.gg/valorant/profile/riot/juicebox%23kitty/overview?platform=pc&amp;playlist=competitive&amp;season=ce2783e8-44fc-dd48-3da3-33b5ba6c4a22;;139506706899009537|silly penguin13#dae|https://tracker.gg/valorant/profile/riot/silly%20penguin%2013%23dae/overview?platform=pc&amp;playlist=competitive&amp;season=ce2783e8-44fc-dd48-3da3-33b5ba6c4a22</t>
  </si>
  <si>
    <t>ad51ab53-53f</t>
  </si>
  <si>
    <t>AURAA Farmers</t>
  </si>
  <si>
    <t>oniaura#0000</t>
  </si>
  <si>
    <t>https://ctrlv.link/Ef7n</t>
  </si>
  <si>
    <t>706711398352420886|oni#AURAA|https://tracker.gg/valorant/profile/riot/oni%23AURAA/overview?platform=pc&amp;playlist=competitive&amp;season=ce2783e8-44fc-dd48-3da3-33b5ba6c4a22;;289568466883575808|Colt#GGTTV|https://tracker.gg/valorant/profile/riot/Colt%23GGTTV/overview?platform=pc&amp;playlist=competitive&amp;season=ce2783e8-44fc-dd48-3da3-33b5ba6c4a22;;118387475004522501|Rocke#813|https://tracker.gg/valorant/profile/riot/Rocke%23813/matches?platform=pc&amp;playlist=competitive&amp;season=ce2783e8-44fc-dd48-3da3-33b5ba6c4a22;;505144757337587713|Kairu#1473|https://tracker.gg/valorant/profile/riot/Kairu%231473/overview?platform=pc&amp;playlist=competitive&amp;season=9d85c932-4820-c060-09c3-668636d4df1b;;244793509951832064|icarus 407#VGS47|https://tracker.gg/valorant/profile/riot/icarus%20407%23VGS47/overview?platform=pc&amp;playlist=competitive&amp;season=9d85c932-4820-c060-09c3-668636d4df1b</t>
  </si>
  <si>
    <t>1269407815458357352|sig too clean#ttv|https://tracker.gg/valorant/profile/riot/sig%20too%20clean%23ttv/overview?platform=pc&amp;playlist=competitive&amp;season=ce2783e8-44fc-dd48-3da3-33b5ba6c4a22;;1129629841575121048|chuwy#kiki|https://tracker.gg/valorant/profile/riot/chuwy%23kiki/matches?platform=pc&amp;playlist=competitive&amp;season=9d85c932-4820-c060-09c3-668636d4df1b</t>
  </si>
  <si>
    <t>0e295ab8-6e0</t>
  </si>
  <si>
    <t>i hate frausto cuz hes a big chud</t>
  </si>
  <si>
    <t>https:// pbs.twimg.com/profile_images/1909920621372624896/E7jxvKbh_400x400.jpg</t>
  </si>
  <si>
    <t>598364704108314657|ermillyy#brcli|https://tracker.gg/valorant/profile/riot/ermillyy%23brcli/overview?platform=pc&amp;playlist=competitive&amp;season=ce2783e8-44fc-dd48-3da3-33b5ba6c4a22;;758424942571946004|arasaka#cybr|https://tracker.gg/valorant/profile/riot/Arasaka%23cybr/overview?platform=pc&amp;playlist=competitive&amp;season=ce2783e8-44fc-dd48-3da3-33b5ba6c4a22;;531983219310985218|cursidd#curse|https://tracker.gg/valorant/profile/riot/cursidd%23curse/performance?platform=pc&amp;playlist=competitive&amp;season=ce2783e8-44fc-dd48-3da3-33b5ba6c4a22;;654127237657919492|dinghy#rat|https://tracker.gg/valorant/profile/riot/Dinghy%23rat/overview?platform=pc&amp;playlist=deathmatch&amp;season=9d85c932-4820-c060-09c3-668636d4df1b;;118881466590560256|shiny umbreon#bong|https://tracker.gg/valorant/profile/riot/shiny%20umbreon%23bong/overview?platform=pc&amp;playlist=swiftplay&amp;season=ce2783e8-44fc-dd48-3da3-33b5ba6c4a22</t>
  </si>
  <si>
    <t>270617422296252416|staroak1949#na10|https://tracker.gg/valorant/profile/riot/Staroak1949%23NA10/overview?platform=pc&amp;playlist=swiftplay&amp;season=ce2783e8-44fc-dd48-3da3-33b5ba6c4a22</t>
  </si>
  <si>
    <t>7626cb4d-c7f</t>
  </si>
  <si>
    <t>Roku Nana</t>
  </si>
  <si>
    <t>jarebeartv#0000</t>
  </si>
  <si>
    <t>https://drive.google.com/file/d/19LcGjJDIcNw2HSpOl3kt7s2-E84b6lS8/view?usp=drivesdk</t>
  </si>
  <si>
    <t>415549514741579786|JareBear#TTV|https://tracker.gg/valorant/profile/riot/JareBear%23TTV/overview?platform=pc&amp;playlist=competitive&amp;season=ce2783e8-44fc-dd48-3da3-33b5ba6c4a22;;492312818486345738|dberg#omen|https://tracker.gg/valorant/profile/riot/dberg%23omen/overview?platform=pc&amp;playlist=competitive&amp;season=ce2783e8-44fc-dd48-3da3-33b5ba6c4a22;;1199062027344297987|versi#nat|https://tracker.gg/valorant/profile/riot/versi%23nat/overview?platform=pc&amp;playlist=competitive&amp;season=ce2783e8-44fc-dd48-3da3-33b5ba6c4a22;;949782768714383400|lil chicken wrap#ranch|https://tracker.gg/valorant/profile/riot/lil%20chicken%20wrap%23ranch/overview?platform=pc&amp;playlist=competitive&amp;season=ce2783e8-44fc-dd48-3da3-33b5ba6c4a22;;215675048839741440|BIG PT#OTOWN|https://tracker.gg/valorant/profile/riot/BIG%20PT%23OTOWN/overview?platform=pc&amp;playlist=competitive&amp;season=ce2783e8-44fc-dd48-3da3-33b5ba6c4a22</t>
  </si>
  <si>
    <t>d8d9d358-181</t>
  </si>
  <si>
    <t>The Goonites</t>
  </si>
  <si>
    <t>abivial#0000</t>
  </si>
  <si>
    <t>https://tracker.gg/valorant/profile/riot/Abivial%23faust/overview?platform=pc&amp;playlist=competitive&amp;season=ce2783e8-44fc-dd48-3da3-33b5ba6c4a22</t>
  </si>
  <si>
    <t>1176518866214592543|Fauster|https://tracker.gg/valorant/profile/riot/Fauster%23Abi/overview?platform=pc&amp;playlist=competitive&amp;season=ce2783e8-44fc-dd48-3da3-33b5ba6c4a22;;301512945207214080|TOOXCHILLY|https://tracker.gg/valorant/profile/riot/Too%20Chilly%23chill/overview?platform=pc&amp;playlist=competitive&amp;season=4c4b8cff-43eb-13d3-8f14-96b783c90cd2;;417466658463023136|Mega Grooky|https://tracker.gg/valorant/profile/riot/mega%20grookey%23elok/overview?platform=pc&amp;playlist=competitive&amp;season=ce2783e8-44fc-dd48-3da3-33b5ba6c4a22;;344673426524602383|Cozyy|https://tracker.gg/valorant/profile/riot/cozyy%23idiot/overview?platform=pc&amp;playlist=competitive&amp;season=ce2783e8-44fc-dd48-3da3-33b5ba6c4a22;;410506914791686164|Abivial|https://tracker.gg/valorant/profile/riot/Abivial%23faust/overview?platform=pc&amp;playlist=competitive&amp;season=ce2783e8-44fc-dd48-3da3-33b5ba6c4a22</t>
  </si>
  <si>
    <t>7e89e83a-267</t>
  </si>
  <si>
    <t>Silly Fellas</t>
  </si>
  <si>
    <t>itsalyssaleah#0000</t>
  </si>
  <si>
    <t>https://drive.google.com/file/d/15vMQbiBp1D4KYqONofbhd_dXOvPHcdkA/view?usp=drivesdk</t>
  </si>
  <si>
    <t>738549312350322730|itsalyssaleah#freak|https://tracker.gg/valorant/profile/riot/itsalyssaleah%23freak/overview?platform=pc&amp;playlist=competitive&amp;season=ce2783e8-44fc-dd48-3da3-33b5ba6c4a22;;483830038287089675|heav#4601|https://tracker.gg/valorant/profile/riot/heav%234601/overview?platform=pc&amp;playlist=competitive&amp;season=ce2783e8-44fc-dd48-3da3-33b5ba6c4a22;;449779028266713109|miinapooh#6ft5|https://tracker.gg/valorant/profile/riot/miinapooh%236ft5/overview?platform=pc&amp;playlist=competitive&amp;season=ce2783e8-44fc-dd48-3da3-33b5ba6c4a22;;496680378762002432|cherrie#alani|https://tracker.gg/valorant/profile/riot/Cherrie%23alani/overview?platform=pc&amp;playlist=competitive&amp;season=ce2783e8-44fc-dd48-3da3-33b5ba6c4a22;;237755656168275969|clocracy#clo|https://tracker.gg/valorant/profile/riot/Clocracy%23Clo/overview?platform=pc&amp;playlist=competitive&amp;season=ce2783e8-44fc-dd48-3da3-33b5ba6c4a22</t>
  </si>
  <si>
    <t>45333c8a-22c</t>
  </si>
  <si>
    <t>Let's Win Again</t>
  </si>
  <si>
    <t>jbroalsodraws#0000</t>
  </si>
  <si>
    <t>https://imgur.com/a/fGw1Y7r</t>
  </si>
  <si>
    <t>200505115059159040|Mike Literis#lick|https://tracker.gg/valorant/profile/riot/Mike%20Literis%23lick;;249335354803486723|JbroAlsoDraws#Art|https://tracker.gg/valorant/profile/riot/JbroAlsoDraws%23Art;;340004054740500480|Cosmic#Smurk|https://tracker.gg/valorant/profile/riot/Cosmic%23Smurk;;315709297533386764|Razorshield#smile|https://tracker.gg/valorant/profile/riot/Razorshield%23smile;;853844756270678026|toxumi#txmi|https://tracker.gg/valorant/profile/riot/toxumi%23txmi</t>
  </si>
  <si>
    <t>c1153e7b-dc6</t>
  </si>
  <si>
    <t>one for all</t>
  </si>
  <si>
    <t>ctrlaltchaos_#0000</t>
  </si>
  <si>
    <t>https://docs.google.com/spreadsheets/d/1yLyq6_-xaeIGcAcxYzcbN1Y76phJUHb3-aruhG-RfQM/edit?gid=0#gid=0</t>
  </si>
  <si>
    <t>502146029982842881|musicalchaos1#fraus|https://tracker.gg/valorant/profile/riot/musicalchaosxx%23fraus/overview?platform=pc&amp;playlist=competitive&amp;season=ce2783e8-44fc-dd48-3da3-33b5ba6c4a22;;1204985450222063618|fruitpackz#2277|https://tracker.gg/valorant/profile/riot/fruitpackz%232277/overview?platform=pc&amp;playlist=competitive&amp;season=ce2783e8-44fc-dd48-3da3-33b5ba6c4a22;;749130663575158855|dezyrable#bun|https://tracker.gg/valorant/profile/riot/Dezyrable%23bun/overview?platform=pc&amp;playlist=competitive&amp;season=ce2783e8-44fc-dd48-3da3-33b5ba6c4a22;;149352473427968000|BABYSHARKZAZA66#lyka|https://tracker.gg/valorant/profile/riot/BABYSHARKZAZA66%23lyka/overview?platform=pc&amp;playlist=skirmish-ascension1v1&amp;season=ce2783e8-44fc-dd48-3da3-33b5ba6c4a22;;168919602640846849|jacob#fresa|https://tracker.gg/valorant/profile/riot/Jacob%23Fresa/overview?platform=pc&amp;playlist=competitive&amp;season=ce2783e8-44fc-dd48-3da3-33b5ba6c4a22</t>
  </si>
  <si>
    <t>b7a4c787-512</t>
  </si>
  <si>
    <t>big hoppers</t>
  </si>
  <si>
    <t>lilhapa#0000</t>
  </si>
  <si>
    <t>https://drive.google.com/file/d/1u7wp_vtAl657SToq7KmaXOQm_DoTw07h/view?usp=drivesdk</t>
  </si>
  <si>
    <t>206160791592763392|hapa#lil|https://tracker.gg/valorant/profile/riot/hapa%23lil/overview?platform=pc&amp;playlist=competitive&amp;season=ce2783e8-44fc-dd48-3da3-33b5ba6c4a22;;796233960447017010|I CANT HEAR YOU#KIYOE|https://tracker.gg/valorant/profile/riot/I%20CANT%20HEAR%20YOU%23KIYOE/overview?platform=pc&amp;playlist=competitive&amp;season=ce2783e8-44fc-dd48-3da3-33b5ba6c4a22;;634462924772999179|KingFred#2510|https://tracker.gg/valorant/profile/riot/KingFred%232510/overview?platform=pc&amp;playlist=competitive&amp;season=ce2783e8-44fc-dd48-3da3-33b5ba6c4a22;;638900090798604338|L1NNYshotz #L1N|https://tracker.gg/valorant/profile/riot/L1NNYshotz%23L1N/overview?platform=pc&amp;playlist=competitive&amp;season=ce2783e8-44fc-dd48-3da3-33b5ba6c4a22;;888557022679814205|kermykai#meow|https://tracker.gg/valorant/profile/riot/kermykai%23meow/overview?platform=pc&amp;playlist=competitive&amp;season=ce2783e8-44fc-dd48-3da3-33b5ba6c4a22</t>
  </si>
  <si>
    <t>636218819244982272|caldwell#womp|https://tracker.gg/valorant/profile/riot/Caldwell%23womp/overview?platform=pc&amp;playlist=competitive&amp;season=ce2783e8-44fc-dd48-3da3-33b5ba6c4a22;;364142447640707075|chud#aka|https://tracker.gg/valorant/profile/riot/chud%23aka/overview?platform=pc&amp;playlist=competitive&amp;season=ce2783e8-44fc-dd48-3da3-33b5ba6c4a22</t>
  </si>
  <si>
    <t>9a0637cb-1c0</t>
  </si>
  <si>
    <t>Broccoli Bunch V2.0</t>
  </si>
  <si>
    <t>https://tracker.gg/valorant/profile/riot/shiny%20umbreon%23bong/overview?platform=pc&amp;playlist=swiftplay&amp;season=ce2783e8-44fc-dd48-3da3-33b5ba6c4a22</t>
  </si>
  <si>
    <t>598364704108314657|ermillyy|https://tracker.gg/valorant/profile/riot/ermillyy%23brcli;;758424942571946004|Arasaka|https://tracker.gg/valorant/profile/riot/Arasaka%23cybr;;654127237657919492|Dinghy|https://tracker.gg/valorant/profile/riot/Dinghy%23rat;;531983219310985218|cursidd|https://tracker.gg/valorant/profile/riot/cursidd%23curse;;118881466590560256|shiny umbreon|https://tracker.gg/valorant/profile/riot/shiny%20umbreon%23bong/overview?platform=pc&amp;playlist=swiftplay&amp;season=ce2783e8-44fc-dd48-3da3-33b5ba6c4a22</t>
  </si>
  <si>
    <t>e1e19de5-15a</t>
  </si>
  <si>
    <t>Team Empress</t>
  </si>
  <si>
    <t>rat.rot#0000</t>
  </si>
  <si>
    <t>https://ibb.co/hx8LXW7P</t>
  </si>
  <si>
    <t>1139740420662906990|RAT#ROTT|https://tracker.gg/valorant/profile/riot/RAT%23ROTT/overview?platform=pc&amp;playlist=competitive&amp;season=ce2783e8-44fc-dd48-3da3-33b5ba6c4a22;;485221758174101525|sadvibes#ttv|https://tracker.gg/valorant/profile/riot/sadvibes%23ttv/overview?platform=pc&amp;playlist=competitive&amp;season=ce2783e8-44fc-dd48-3da3-33b5ba6c4a22;;309100711994589194|Sasquatch#6989|https://tracker.gg/valorant/profile/riot/Sasquatch%236989/overview?platform=pc&amp;playlist=competitive&amp;season=ce2783e8-44fc-dd48-3da3-33b5ba6c4a22;;502661753985957908|TcChains#GERRY|https://tracker.gg/valorant/profile/riot/TcChains%23GERRY/overview?platform=pc&amp;playlist=competitive&amp;season=ce2783e8-44fc-dd48-3da3-33b5ba6c4a22;;1188902220377378838|Abs3nt#envy|https://tracker.gg/valorant/profile/riot/Abs3nt%23envy/overview?platform=pc&amp;playlist=competitive&amp;season=ce2783e8-44fc-dd48-3da3-33b5ba6c4a22 (Have screenshots of tracker)</t>
  </si>
  <si>
    <t>05592bc9-e9e</t>
  </si>
  <si>
    <t>Team OPTIFINE</t>
  </si>
  <si>
    <t>laark#0000</t>
  </si>
  <si>
    <t>http://</t>
  </si>
  <si>
    <t>207276513500987393|LAARK#LAARK|https://tracker.gg/valorant/profile/riot/LAARK%23LAARK/overview?platform=pc&amp;playlist=competitive&amp;season=ce2783e8-44fc-dd48-3da3-33b5ba6c4a22;;210535096833409025|cambcamb#ttv|https://tracker.gg/valorant/profile/riot/CaMbCaMb%23TTV/overview?platform=pc&amp;playlist=competitive&amp;season=ce2783e8-44fc-dd48-3da3-33b5ba6c4a22;;791741665974026271|flxkey#LFT|https://tracker.gg/valorant/profile/riot/flxkey%23LFT/overview?platform=pc&amp;playlist=competitive&amp;season=ce2783e8-44fc-dd48-3da3-33b5ba6c4a22;;389898147834363904|purifyy ya heart#PURE|https://tracker.gg/valorant/profile/riot/purifyy%20ya%20heart%23PURE/overview?platform=pc&amp;playlist=competitive&amp;season=ce2783e8-44fc-dd48-3da3-33b5ba6c4a22;;746770825973334138|hashslngngslashr#2632|https://tracker.gg/valorant/profile/riot/hashslngngslashr%232632/overview?platform=pc&amp;playlist=competitive&amp;season=ce2783e8-44fc-dd48-3da3-33b5ba6c4a22</t>
  </si>
  <si>
    <t>658eebd2-96d</t>
  </si>
  <si>
    <t>OPTIFINE</t>
  </si>
  <si>
    <t>https://postimg.cc/k6Q3dx3Q</t>
  </si>
  <si>
    <t>207276513500987393|https://tracker.gg/valorant/profile/riot/LAARK%23L|https://tracker.gg/valorant/profile/riot/LAARK%23LAARK/overview?platform=pc&amp;playlist=competitive&amp;season=ce2783e8-44fc-dd48-3da3-33b5ba6c4a22;;210535096833409025|https://tracker.gg/valorant/profile/riot/CaMbCaMb%|https://tracker.gg/valorant/profile/riot/CaMbCaMb%23TTV/overview?platform=pc&amp;playlist=competitive&amp;season=ce2783e8-44fc-dd48-3da3-33b5ba6c4a22;;746770825973334138|https://tracker.gg/valorant/profile/riot/hashslngn|https://tracker.gg/valorant/profile/riot/hashslngngslashr%232632/overview?platform=pc&amp;playlist=competitive&amp;season=ce2783e8-44fc-dd48-3da3-33b5ba6c4a22;;389898147834363904|https://tracker.gg/valorant/profile/riot/purifyy%2|https://tracker.gg/valorant/profile/riot/purifyy%20ya%20heart%23PURE/overview?platform=pc&amp;playlist=competitive&amp;season=ce2783e8-44fc-dd48-3da3-33b5ba6c4a22;;791741665974026271|https://tracker.gg/valorant/profile/riot/flxkey%23|https://tracker.gg/valorant/profile/riot/flxkey%23LFT/overview?platform=pc&amp;playlist=competitive&amp;season=ce2783e8-44fc-dd48-3da3-33b5ba6c4a22</t>
  </si>
  <si>
    <t>https://cdn.discordapp.com/attachments/779523238077399061/1531756667241365755/teamsheet.png?ex=6a6a5f10&amp;is=6a690d90&amp;hm=dc262693f630844d174cf1db809e464e12ad5047e1687ca677b776567b09513d&amp;</t>
  </si>
  <si>
    <t>https://imgur.com/a/UsI9QY6</t>
  </si>
  <si>
    <t>https://drive.google.com/file/d/1nQXLuN3iN4y9b7xohMtClNkinmtuyJ_1/view?usp=sharing</t>
  </si>
  <si>
    <t>205842214151127040|A Gold Omen#rat|https://tracker.gg/valorant/profile/riot/A%20Gold%20Omen%23rat/overview;;238116566472851459|ComputerUser#1313|https://tracker.gg/valorant/profile/riot/ComputerUser%231313/overview?platform=pc&amp;playlist=competitive&amp;season=4f0864e2-40af-28a4-de2c-0e9e64e75f23;;410506914791686164|Abivial#Faust|https://tracker.gg/valorant/profile/riot/Abivial%23Faust/overview?playlist=competitive&amp;platform=pc&amp;season=4f0864e2-40af-28a4-de2c-0e9e64e75f23;;172476966258081794|OmegaRafy3#5421|https://tracker.gg/valorant/profile/riot/OmegaRafy3%235421/overview?platform=pc&amp;playlist=competitive&amp;season=4f0864e2-40af-28a4-de2c-0e9e64e75f23;;1176518866214592543|Fauster#Abi|https://tracker.gg/valorant/profile/riot/fauster%23abi/overview?platform=pc&amp;playlist=competitive&amp;season=4f0864e2-40af-28a4-de2c-0e9e64e75f23</t>
  </si>
  <si>
    <t>821507287804936262|jelly time#3333|https://tracker.gg/valorant/profile/riot/jellytime%233333/overview?platform=pc&amp;playlist=competitive&amp;season=4f0864e2-40af-28a4-de2c-0e9e64e75f23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</si>
</sst>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B7D6F7"/>
        <bgColor rgb="FFB7D6F7"/>
      </patternFill>
    </fill>
    <fill>
      <patternFill patternType="solid">
        <fgColor rgb="FFC6E2FC"/>
        <bgColor rgb="FFC6E2FC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 vertical="center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ibb.co/hx8LXW7P" TargetMode="External"/><Relationship Id="rId22" Type="http://schemas.openxmlformats.org/officeDocument/2006/relationships/hyperlink" Target="https://cdn.discordapp.com/attachments/779523238077399061/1531756667241365755/teamsheet.png?ex=6a6a5f10&amp;is=6a690d90&amp;hm=dc262693f630844d174cf1db809e464e12ad5047e1687ca677b776567b09513d&amp;" TargetMode="External"/><Relationship Id="rId21" Type="http://schemas.openxmlformats.org/officeDocument/2006/relationships/hyperlink" Target="https://postimg.cc/k6Q3dx3Q" TargetMode="External"/><Relationship Id="rId24" Type="http://schemas.openxmlformats.org/officeDocument/2006/relationships/hyperlink" Target="https://drive.google.com/file/d/1nQXLuN3iN4y9b7xohMtClNkinmtuyJ_1/view?usp=sharing" TargetMode="External"/><Relationship Id="rId23" Type="http://schemas.openxmlformats.org/officeDocument/2006/relationships/hyperlink" Target="https://imgur.com/a/UsI9QY6" TargetMode="External"/><Relationship Id="rId1" Type="http://schemas.openxmlformats.org/officeDocument/2006/relationships/hyperlink" Target="https://x.com/fraustoML/status/2052070906873401409/photo/1" TargetMode="External"/><Relationship Id="rId2" Type="http://schemas.openxmlformats.org/officeDocument/2006/relationships/hyperlink" Target="https://x.com/e3c6b9ad-364a-427e-9291-ef61fb701110" TargetMode="External"/><Relationship Id="rId3" Type="http://schemas.openxmlformats.org/officeDocument/2006/relationships/hyperlink" Target="https://x.com/e3c6b9ad-364a-427e-9291-ef61fb701110" TargetMode="External"/><Relationship Id="rId4" Type="http://schemas.openxmlformats.org/officeDocument/2006/relationships/hyperlink" Target="https://ctrlv.link/lDej" TargetMode="External"/><Relationship Id="rId9" Type="http://schemas.openxmlformats.org/officeDocument/2006/relationships/hyperlink" Target="https://ctrlv.link/4pBM" TargetMode="External"/><Relationship Id="rId25" Type="http://schemas.openxmlformats.org/officeDocument/2006/relationships/drawing" Target="../drawings/drawing3.xml"/><Relationship Id="rId5" Type="http://schemas.openxmlformats.org/officeDocument/2006/relationships/hyperlink" Target="https://www.bisecthosting.com/_ipx/q_100&amp;s_123x126/static/img/game-assets/misc/minecraft/packages/one/vanilla-5.webp" TargetMode="External"/><Relationship Id="rId6" Type="http://schemas.openxmlformats.org/officeDocument/2006/relationships/hyperlink" Target="https://imgur.com/a/qWmUOK4" TargetMode="External"/><Relationship Id="rId7" Type="http://schemas.openxmlformats.org/officeDocument/2006/relationships/hyperlink" Target="https://cdn.discordapp.com/attachments/779523238077399061/1507817052541554848/image.png?ex=6a13478f&amp;is=6a11f60f&amp;hm=40e976f25026e0338316b18aec1bf7de391725bbda500f4720c4122c36e4f29f&amp;" TargetMode="External"/><Relationship Id="rId8" Type="http://schemas.openxmlformats.org/officeDocument/2006/relationships/hyperlink" Target="https://imgur.com/a/63atIpi" TargetMode="External"/><Relationship Id="rId11" Type="http://schemas.openxmlformats.org/officeDocument/2006/relationships/hyperlink" Target="https://docs.google.com/spreadsheets/d/1n-0y-DnbrirYjZWcj-lv5K1X5woWmQYcieGg8QFCUxo/edit?usp=sharing" TargetMode="External"/><Relationship Id="rId10" Type="http://schemas.openxmlformats.org/officeDocument/2006/relationships/hyperlink" Target="https://ctrlv.link/8Jvx" TargetMode="External"/><Relationship Id="rId13" Type="http://schemas.openxmlformats.org/officeDocument/2006/relationships/hyperlink" Target="https://drive.google.com/file/d/19LcGjJDIcNw2HSpOl3kt7s2-E84b6lS8/view?usp=drivesdk" TargetMode="External"/><Relationship Id="rId12" Type="http://schemas.openxmlformats.org/officeDocument/2006/relationships/hyperlink" Target="https://ctrlv.link/Ef7n" TargetMode="External"/><Relationship Id="rId15" Type="http://schemas.openxmlformats.org/officeDocument/2006/relationships/hyperlink" Target="https://drive.google.com/file/d/15vMQbiBp1D4KYqONofbhd_dXOvPHcdkA/view?usp=drivesdk" TargetMode="External"/><Relationship Id="rId14" Type="http://schemas.openxmlformats.org/officeDocument/2006/relationships/hyperlink" Target="https://tracker.gg/valorant/profile/riot/Abivial%23faust/overview?platform=pc&amp;playlist=competitive&amp;season=ce2783e8-44fc-dd48-3da3-33b5ba6c4a22" TargetMode="External"/><Relationship Id="rId17" Type="http://schemas.openxmlformats.org/officeDocument/2006/relationships/hyperlink" Target="https://docs.google.com/spreadsheets/d/1yLyq6_-xaeIGcAcxYzcbN1Y76phJUHb3-aruhG-RfQM/edit?gid=0" TargetMode="External"/><Relationship Id="rId16" Type="http://schemas.openxmlformats.org/officeDocument/2006/relationships/hyperlink" Target="https://imgur.com/a/fGw1Y7r" TargetMode="External"/><Relationship Id="rId19" Type="http://schemas.openxmlformats.org/officeDocument/2006/relationships/hyperlink" Target="https://tracker.gg/valorant/profile/riot/shiny%20umbreon%23bong/overview?platform=pc&amp;playlist=swiftplay&amp;season=ce2783e8-44fc-dd48-3da3-33b5ba6c4a22" TargetMode="External"/><Relationship Id="rId18" Type="http://schemas.openxmlformats.org/officeDocument/2006/relationships/hyperlink" Target="https://drive.google.com/file/d/1u7wp_vtAl657SToq7KmaXOQm_DoTw07h/view?usp=drivesdk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3" max="3" width="25.13"/>
    <col customWidth="1" min="5" max="5" width="25.13"/>
    <col customWidth="1" min="7" max="7" width="25.13"/>
  </cols>
  <sheetData>
    <row r="1">
      <c r="A1" s="1" t="s">
        <v>0</v>
      </c>
    </row>
    <row r="3">
      <c r="A3" s="2" t="s">
        <v>1</v>
      </c>
      <c r="C3" s="2" t="s">
        <v>3</v>
      </c>
      <c r="E3" s="2" t="s">
        <v>5</v>
      </c>
      <c r="G3" s="2"/>
    </row>
    <row r="4">
      <c r="A4" s="5" t="str">
        <f>HYPERLINK("https://tracker.gg/valorant/profile/riot/madge%23koow/overview?platform=pc&amp;playlist=competitive&amp;season=4f0864e2-40af-28a4-de2c-0e9e64e75f23","koow")</f>
        <v>koow</v>
      </c>
      <c r="C4" s="5" t="str">
        <f>HYPERLINK("https://tracker.gg/valorant/profile/riot/A%20Gold%20Omen%23rat/overview","A Gold Omen#rat (C)")</f>
        <v>A Gold Omen#rat (C)</v>
      </c>
      <c r="E4" s="5" t="str">
        <f>HYPERLINK("https://tracker.gg/valorant/profile/riot/playn%20with%20toes%23toes/performance?platform=pc&amp;playlist=competitive&amp;season=4f0864e2-40af-28a4-de2c-0e9e64e75f23","playn with toes#toes")</f>
        <v>playn with toes#toes</v>
      </c>
    </row>
    <row r="5">
      <c r="A5" s="5" t="str">
        <f>HYPERLINK("https://tracker.gg/valorant/profile/riot/Zxru%23lax/overview?platform=pc&amp;playlist=competitive&amp;season=4f0864e2-40af-28a4-de2c-0e9e64e75f23","zxru#lax")</f>
        <v>zxru#lax</v>
      </c>
      <c r="C5" s="5" t="str">
        <f>HYPERLINK("https://tracker.gg/valorant/profile/riot/ComputerUser%231313/overview?platform=pc&amp;playlist=competitive&amp;season=4f0864e2-40af-28a4-de2c-0e9e64e75f23","ComputerUser#1313")</f>
        <v>ComputerUser#1313</v>
      </c>
      <c r="E5" s="5" t="str">
        <f>HYPERLINK("https://tracker.gg/valorant/profile/riot/Coach%20Lobster%23Coach/performance?platform=pc&amp;playlist=competitive&amp;season=4f0864e2-40af-28a4-de2c-0e9e64e75f23","Coach Lobster#Coach")</f>
        <v>Coach Lobster#Coach</v>
      </c>
    </row>
    <row r="6">
      <c r="A6" s="5" t="str">
        <f>HYPERLINK("https://tracker.gg/valorant/profile/riot/%EF%BC%A8%EF%BC%A9%EF%BC%AB%EF%BC%A1%EF%BC%A8%EF%BC%A9%EF%BC%AB%EF%BC%A1%EF%BC%A8%EF%BC%A9%EF%BC%AB%EF%BC%A1%EF%BC%A8%EF%BC%A9%EF%BC%AB%EF%BC%A1%23kari/overview?platform=pc&amp;playlist=competitive&amp;season=4f0864e2-40af"&amp;"-28a4-de2c-0e9e64e75f23","hika hika hika hika")</f>
        <v>hika hika hika hika</v>
      </c>
      <c r="C6" s="5" t="str">
        <f>HYPERLINK("https://tracker.gg/valorant/profile/riot/Abivial%23Faust/overview?playlist=competitive&amp;platform=pc&amp;season=4f0864e2-40af-28a4-de2c-0e9e64e75f23","Abivial#Faust")</f>
        <v>Abivial#Faust</v>
      </c>
      <c r="E6" s="5" t="str">
        <f>HYPERLINK("https://tracker.gg/valorant/profile/riot/almond%23wayly/customs?platform=pc&amp;playlist=competitive&amp;season=4f0864e2-40af-28a4-de2c-0e9e64e75f23","almond#wayly (C)")</f>
        <v>almond#wayly (C)</v>
      </c>
    </row>
    <row r="7">
      <c r="A7" s="5" t="str">
        <f>HYPERLINK("https://tracker.gg/valorant/profile/riot/xixi%230830/overview?platform=pc&amp;playlist=swiftplay&amp;season=4f0864e2-40af-28a4-de2c-0e9e64e75f23","xixi")</f>
        <v>xixi</v>
      </c>
      <c r="C7" s="5" t="str">
        <f>HYPERLINK("https://tracker.gg/valorant/profile/riot/OmegaRafy3%235421/overview?platform=pc&amp;playlist=competitive&amp;season=4f0864e2-40af-28a4-de2c-0e9e64e75f23","OmegaRafy3#5421")</f>
        <v>OmegaRafy3#5421</v>
      </c>
      <c r="E7" s="5" t="str">
        <f>HYPERLINK("https://tracker.gg/valorant/profile/riot/Sa1ty%23123/performance?platform=pc&amp;playlist=competitive&amp;season=4f0864e2-40af-28a4-de2c-0e9e64e75f23","Sa1ty#123")</f>
        <v>Sa1ty#123</v>
      </c>
    </row>
    <row r="8">
      <c r="A8" s="5" t="str">
        <f>HYPERLINK("https://tracker.gg/valorant/profile/riot/aus%23MTB/overview","aus#mtb (C)")</f>
        <v>aus#mtb (C)</v>
      </c>
      <c r="C8" s="5" t="str">
        <f>HYPERLINK("https://tracker.gg/valorant/profile/riot/fauster%23abi/overview?platform=pc&amp;playlist=competitive&amp;season=4f0864e2-40af-28a4-de2c-0e9e64e75f23","Fauster#Abi")</f>
        <v>Fauster#Abi</v>
      </c>
      <c r="E8" s="5" t="str">
        <f>HYPERLINK("https://tracker.gg/valorant/profile/riot/skytookie%23sub/performance?platform=pc&amp;playlist=competitive&amp;season=4f0864e2-40af-28a4-de2c-0e9e64e75f23","skytookie#sub")</f>
        <v>skytookie#sub</v>
      </c>
    </row>
    <row r="9">
      <c r="C9" s="5" t="str">
        <f>HYPERLINK("https://tracker.gg/valorant/profile/riot/jellytime%233333/overview?platform=pc&amp;playlist=competitive&amp;season=4f0864e2-40af-28a4-de2c-0e9e64e75f23","jelly time#3333")</f>
        <v>jelly time#3333</v>
      </c>
    </row>
    <row r="13">
      <c r="A13" s="2"/>
      <c r="C13" s="2"/>
      <c r="E13" s="2"/>
      <c r="G13" s="2"/>
    </row>
    <row r="22">
      <c r="A22" s="2"/>
      <c r="C22" s="2"/>
      <c r="E22" s="2"/>
      <c r="G22" s="2"/>
    </row>
    <row r="23">
      <c r="A23" s="2"/>
      <c r="C23" s="2"/>
      <c r="E23" s="2"/>
      <c r="G23" s="2"/>
    </row>
    <row r="31">
      <c r="A31" s="2"/>
      <c r="C31" s="2"/>
      <c r="E31" s="2"/>
      <c r="G31" s="2"/>
    </row>
    <row r="32">
      <c r="A32" s="2"/>
    </row>
    <row r="33">
      <c r="A33" s="2"/>
      <c r="C33" s="2"/>
      <c r="E33" s="2"/>
    </row>
  </sheetData>
  <mergeCells count="1">
    <mergeCell ref="A1:G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</v>
      </c>
      <c r="B1" s="3" t="s">
        <v>2</v>
      </c>
      <c r="C1" s="3" t="s">
        <v>7</v>
      </c>
      <c r="D1" s="3" t="s">
        <v>10</v>
      </c>
      <c r="E1" s="3" t="s">
        <v>8</v>
      </c>
      <c r="F1" s="3" t="s">
        <v>9</v>
      </c>
      <c r="G1" s="3" t="s">
        <v>13</v>
      </c>
      <c r="H1" s="3" t="s">
        <v>15</v>
      </c>
      <c r="I1" s="3" t="s">
        <v>17</v>
      </c>
      <c r="J1" s="3" t="s">
        <v>20</v>
      </c>
      <c r="K1" s="3" t="s">
        <v>22</v>
      </c>
      <c r="L1" s="3" t="s">
        <v>26</v>
      </c>
    </row>
    <row r="2">
      <c r="A2" s="3" t="s">
        <v>28</v>
      </c>
      <c r="B2" s="4">
        <v>1.4044958306265992E18</v>
      </c>
      <c r="C2" s="3" t="s">
        <v>23</v>
      </c>
      <c r="D2" s="3" t="s">
        <v>31</v>
      </c>
      <c r="E2" s="4">
        <v>4.5118128452665344E17</v>
      </c>
      <c r="F2" s="3" t="s">
        <v>33</v>
      </c>
      <c r="G2" s="4">
        <v>1.5317583827494546E18</v>
      </c>
      <c r="H2" s="4">
        <v>1.5317583844860232E18</v>
      </c>
      <c r="I2" s="4">
        <v>1.531758389686698E18</v>
      </c>
      <c r="J2" s="4">
        <v>1.785270057361E12</v>
      </c>
      <c r="K2" s="3" t="s">
        <v>35</v>
      </c>
      <c r="L2" s="3" t="s">
        <v>37</v>
      </c>
    </row>
    <row r="3">
      <c r="A3" s="3" t="s">
        <v>38</v>
      </c>
      <c r="B3" s="4">
        <v>1.4044958306265992E18</v>
      </c>
      <c r="C3" s="3" t="s">
        <v>23</v>
      </c>
      <c r="D3" s="3" t="s">
        <v>40</v>
      </c>
      <c r="E3" s="4">
        <v>2.143637573824676E17</v>
      </c>
      <c r="F3" s="3" t="s">
        <v>41</v>
      </c>
      <c r="G3" s="4">
        <v>1.5318390290901937E18</v>
      </c>
      <c r="H3" s="4">
        <v>1.531839030885618E18</v>
      </c>
      <c r="I3" s="4">
        <v>1.531839036216316E18</v>
      </c>
      <c r="J3" s="4">
        <v>1.785289284848E12</v>
      </c>
      <c r="K3" s="3" t="s">
        <v>42</v>
      </c>
      <c r="L3" s="3" t="s">
        <v>43</v>
      </c>
    </row>
    <row r="4">
      <c r="A4" s="3" t="s">
        <v>44</v>
      </c>
      <c r="B4" s="4">
        <v>1.4044958306265992E18</v>
      </c>
      <c r="C4" s="3" t="s">
        <v>23</v>
      </c>
      <c r="D4" s="3" t="s">
        <v>45</v>
      </c>
      <c r="E4" s="4">
        <v>2.0584221415112704E17</v>
      </c>
      <c r="F4" s="3" t="s">
        <v>46</v>
      </c>
      <c r="G4" s="4">
        <v>1.5323974744659766E18</v>
      </c>
      <c r="H4" s="4">
        <v>1.532397476542415E18</v>
      </c>
      <c r="I4" s="4">
        <v>1.5323974827832814E18</v>
      </c>
      <c r="J4" s="4">
        <v>1.785422428685E12</v>
      </c>
      <c r="K4" s="3" t="s">
        <v>47</v>
      </c>
      <c r="L4" s="3" t="s">
        <v>48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6</v>
      </c>
      <c r="B1" s="3" t="s">
        <v>2</v>
      </c>
      <c r="C1" s="3" t="s">
        <v>7</v>
      </c>
      <c r="D1" s="3" t="s">
        <v>10</v>
      </c>
      <c r="E1" s="3" t="s">
        <v>8</v>
      </c>
      <c r="F1" s="3" t="s">
        <v>9</v>
      </c>
      <c r="G1" s="3" t="s">
        <v>14</v>
      </c>
      <c r="H1" s="3" t="s">
        <v>16</v>
      </c>
      <c r="I1" s="3" t="s">
        <v>19</v>
      </c>
      <c r="J1" s="3" t="s">
        <v>21</v>
      </c>
      <c r="K1" s="3" t="s">
        <v>24</v>
      </c>
      <c r="L1" s="3" t="s">
        <v>27</v>
      </c>
      <c r="M1" s="3" t="s">
        <v>29</v>
      </c>
    </row>
    <row r="2">
      <c r="A2" s="3" t="s">
        <v>30</v>
      </c>
      <c r="B2" s="4">
        <v>1.4044958306265992E18</v>
      </c>
      <c r="C2" s="3" t="s">
        <v>23</v>
      </c>
      <c r="D2" s="3" t="s">
        <v>34</v>
      </c>
      <c r="E2" s="4">
        <v>4.226226078047273E17</v>
      </c>
      <c r="F2" s="3" t="s">
        <v>25</v>
      </c>
      <c r="G2" s="3" t="s">
        <v>36</v>
      </c>
      <c r="H2" s="4">
        <v>1.778120187972E12</v>
      </c>
      <c r="I2" s="4">
        <v>1.4044983157013873E18</v>
      </c>
      <c r="J2" s="4">
        <v>1.5017696585655296E18</v>
      </c>
      <c r="K2" s="6" t="s">
        <v>39</v>
      </c>
      <c r="L2" s="3" t="s">
        <v>49</v>
      </c>
    </row>
    <row r="3">
      <c r="A3" s="3" t="s">
        <v>50</v>
      </c>
      <c r="B3" s="4">
        <v>1.4044958306265992E18</v>
      </c>
      <c r="C3" s="3" t="s">
        <v>23</v>
      </c>
      <c r="D3" s="3" t="s">
        <v>34</v>
      </c>
      <c r="E3" s="4">
        <v>4.226226078047273E17</v>
      </c>
      <c r="F3" s="3" t="s">
        <v>25</v>
      </c>
      <c r="G3" s="3" t="s">
        <v>51</v>
      </c>
      <c r="H3" s="4">
        <v>1.778130318834E12</v>
      </c>
      <c r="I3" s="4">
        <v>1.4044983157013873E18</v>
      </c>
      <c r="J3" s="4">
        <v>1.5018121505182884E18</v>
      </c>
      <c r="K3" s="6" t="s">
        <v>52</v>
      </c>
      <c r="L3" s="3" t="s">
        <v>53</v>
      </c>
      <c r="M3" s="3" t="s">
        <v>54</v>
      </c>
    </row>
    <row r="4">
      <c r="A4" s="3" t="s">
        <v>55</v>
      </c>
      <c r="B4" s="4">
        <v>1.4044958306265992E18</v>
      </c>
      <c r="C4" s="3" t="s">
        <v>23</v>
      </c>
      <c r="D4" s="3" t="s">
        <v>34</v>
      </c>
      <c r="E4" s="4">
        <v>4.226226078047273E17</v>
      </c>
      <c r="F4" s="3" t="s">
        <v>25</v>
      </c>
      <c r="G4" s="3" t="s">
        <v>51</v>
      </c>
      <c r="H4" s="4">
        <v>1.778130354138E12</v>
      </c>
      <c r="I4" s="4">
        <v>1.4044983157013873E18</v>
      </c>
      <c r="J4" s="4">
        <v>1.5018122985731564E18</v>
      </c>
      <c r="K4" s="6" t="s">
        <v>52</v>
      </c>
      <c r="L4" s="3" t="s">
        <v>53</v>
      </c>
      <c r="M4" s="3" t="s">
        <v>54</v>
      </c>
    </row>
    <row r="5">
      <c r="A5" s="3" t="s">
        <v>56</v>
      </c>
      <c r="B5" s="4">
        <v>1.4044958306265992E18</v>
      </c>
      <c r="C5" s="3" t="s">
        <v>23</v>
      </c>
      <c r="D5" s="3" t="s">
        <v>57</v>
      </c>
      <c r="E5" s="4">
        <v>4.226226078047273E17</v>
      </c>
      <c r="F5" s="3" t="s">
        <v>25</v>
      </c>
      <c r="G5" s="3" t="s">
        <v>36</v>
      </c>
      <c r="H5" s="4">
        <v>1.778130640333E12</v>
      </c>
      <c r="I5" s="4">
        <v>1.4044983157013873E18</v>
      </c>
      <c r="J5" s="4">
        <v>1.5018134991968666E18</v>
      </c>
      <c r="K5" s="6" t="s">
        <v>58</v>
      </c>
      <c r="L5" s="3" t="s">
        <v>59</v>
      </c>
      <c r="M5" s="3" t="s">
        <v>60</v>
      </c>
    </row>
    <row r="6">
      <c r="A6" s="3" t="s">
        <v>61</v>
      </c>
      <c r="B6" s="4">
        <v>1.4044958306265992E18</v>
      </c>
      <c r="C6" s="3" t="s">
        <v>23</v>
      </c>
      <c r="D6" s="3" t="s">
        <v>62</v>
      </c>
      <c r="E6" s="4">
        <v>3.840486650454999E17</v>
      </c>
      <c r="F6" s="3" t="s">
        <v>12</v>
      </c>
      <c r="G6" s="3" t="s">
        <v>51</v>
      </c>
      <c r="H6" s="4">
        <v>1.77866360938E12</v>
      </c>
      <c r="I6" s="4">
        <v>1.4044983157013873E18</v>
      </c>
      <c r="J6" s="4">
        <v>1.5040489392240108E18</v>
      </c>
      <c r="K6" s="6" t="s">
        <v>63</v>
      </c>
      <c r="L6" s="3" t="s">
        <v>64</v>
      </c>
    </row>
    <row r="7">
      <c r="A7" s="3" t="s">
        <v>65</v>
      </c>
      <c r="B7" s="4">
        <v>1.4044958306265992E18</v>
      </c>
      <c r="C7" s="3" t="s">
        <v>23</v>
      </c>
      <c r="D7" s="3" t="s">
        <v>66</v>
      </c>
      <c r="E7" s="4">
        <v>2.143637573824676E17</v>
      </c>
      <c r="F7" s="3" t="s">
        <v>41</v>
      </c>
      <c r="G7" s="3" t="s">
        <v>36</v>
      </c>
      <c r="H7" s="4">
        <v>1.778975702057E12</v>
      </c>
      <c r="I7" s="4">
        <v>1.4044983157013873E18</v>
      </c>
      <c r="J7" s="4">
        <v>1.5053579445297482E18</v>
      </c>
      <c r="K7" s="6" t="s">
        <v>67</v>
      </c>
      <c r="L7" s="3" t="s">
        <v>68</v>
      </c>
    </row>
    <row r="8">
      <c r="A8" s="3" t="s">
        <v>69</v>
      </c>
      <c r="B8" s="4">
        <v>1.4044958306265992E18</v>
      </c>
      <c r="C8" s="3" t="s">
        <v>23</v>
      </c>
      <c r="D8" s="3" t="s">
        <v>70</v>
      </c>
      <c r="E8" s="4">
        <v>4.5118128452665344E17</v>
      </c>
      <c r="F8" s="3" t="s">
        <v>33</v>
      </c>
      <c r="G8" s="3" t="s">
        <v>36</v>
      </c>
      <c r="H8" s="4">
        <v>1.77956201054E12</v>
      </c>
      <c r="I8" s="4">
        <v>1.4044983157013873E18</v>
      </c>
      <c r="J8" s="4">
        <v>1.507817100520063E18</v>
      </c>
      <c r="K8" s="6" t="s">
        <v>71</v>
      </c>
      <c r="L8" s="3" t="s">
        <v>72</v>
      </c>
    </row>
    <row r="9">
      <c r="A9" s="3" t="s">
        <v>73</v>
      </c>
      <c r="B9" s="4">
        <v>1.4044958306265992E18</v>
      </c>
      <c r="C9" s="3" t="s">
        <v>23</v>
      </c>
      <c r="D9" s="3" t="s">
        <v>74</v>
      </c>
      <c r="E9" s="4">
        <v>3.1604324505655706E17</v>
      </c>
      <c r="F9" s="3" t="s">
        <v>75</v>
      </c>
      <c r="G9" s="3" t="s">
        <v>36</v>
      </c>
      <c r="H9" s="4">
        <v>1.779773973474E12</v>
      </c>
      <c r="I9" s="4">
        <v>1.4044983157013873E18</v>
      </c>
      <c r="J9" s="4">
        <v>1.5087061374685676E18</v>
      </c>
      <c r="K9" s="6" t="s">
        <v>76</v>
      </c>
      <c r="L9" s="3" t="s">
        <v>77</v>
      </c>
      <c r="M9" s="3" t="s">
        <v>78</v>
      </c>
    </row>
    <row r="10">
      <c r="A10" s="3" t="s">
        <v>79</v>
      </c>
      <c r="B10" s="4">
        <v>1.4044958306265992E18</v>
      </c>
      <c r="C10" s="3" t="s">
        <v>23</v>
      </c>
      <c r="D10" s="3" t="s">
        <v>80</v>
      </c>
      <c r="E10" s="4">
        <v>3.96175919393407E17</v>
      </c>
      <c r="F10" s="3" t="s">
        <v>81</v>
      </c>
      <c r="G10" s="3" t="s">
        <v>36</v>
      </c>
      <c r="H10" s="4">
        <v>1.779909324129E12</v>
      </c>
      <c r="I10" s="4">
        <v>1.4044983157013873E18</v>
      </c>
      <c r="J10" s="4">
        <v>1.5092738393629002E18</v>
      </c>
      <c r="K10" s="6" t="s">
        <v>82</v>
      </c>
      <c r="L10" s="3" t="s">
        <v>83</v>
      </c>
      <c r="M10" s="3" t="s">
        <v>84</v>
      </c>
    </row>
    <row r="11">
      <c r="A11" s="3" t="s">
        <v>85</v>
      </c>
      <c r="B11" s="4">
        <v>1.4044958306265992E18</v>
      </c>
      <c r="C11" s="3" t="s">
        <v>23</v>
      </c>
      <c r="D11" s="3" t="s">
        <v>86</v>
      </c>
      <c r="E11" s="4">
        <v>5.983647041083146E17</v>
      </c>
      <c r="F11" s="3" t="s">
        <v>87</v>
      </c>
      <c r="G11" s="3" t="s">
        <v>88</v>
      </c>
      <c r="H11" s="4">
        <v>1.78013005027E12</v>
      </c>
      <c r="I11" s="4">
        <v>1.4044983157013873E18</v>
      </c>
      <c r="J11" s="4">
        <v>0.0</v>
      </c>
      <c r="K11" s="3" t="s">
        <v>89</v>
      </c>
      <c r="L11" s="3" t="s">
        <v>90</v>
      </c>
      <c r="M11" s="3" t="s">
        <v>91</v>
      </c>
    </row>
    <row r="12">
      <c r="A12" s="3" t="s">
        <v>92</v>
      </c>
      <c r="B12" s="4">
        <v>1.4044958306265992E18</v>
      </c>
      <c r="C12" s="3" t="s">
        <v>23</v>
      </c>
      <c r="D12" s="3" t="s">
        <v>93</v>
      </c>
      <c r="E12" s="4">
        <v>4.3018481530463846E17</v>
      </c>
      <c r="F12" s="3" t="s">
        <v>94</v>
      </c>
      <c r="G12" s="3" t="s">
        <v>36</v>
      </c>
      <c r="H12" s="4">
        <v>1.780183952865E12</v>
      </c>
      <c r="I12" s="4">
        <v>1.4044983157013873E18</v>
      </c>
      <c r="J12" s="4">
        <v>1.510425715856638E18</v>
      </c>
      <c r="K12" s="6" t="s">
        <v>95</v>
      </c>
      <c r="L12" s="3" t="s">
        <v>96</v>
      </c>
      <c r="M12" s="3" t="s">
        <v>97</v>
      </c>
    </row>
    <row r="13">
      <c r="A13" s="3" t="s">
        <v>98</v>
      </c>
      <c r="B13" s="4">
        <v>1.4044958306265992E18</v>
      </c>
      <c r="C13" s="3" t="s">
        <v>23</v>
      </c>
      <c r="D13" s="3" t="s">
        <v>99</v>
      </c>
      <c r="E13" s="4">
        <v>1.3950670689900954E17</v>
      </c>
      <c r="F13" s="3" t="s">
        <v>100</v>
      </c>
      <c r="G13" s="3" t="s">
        <v>36</v>
      </c>
      <c r="H13" s="4">
        <v>1.780279963738E12</v>
      </c>
      <c r="I13" s="4">
        <v>1.4044983157013873E18</v>
      </c>
      <c r="J13" s="4">
        <v>1.510828414490116E18</v>
      </c>
      <c r="K13" s="6" t="s">
        <v>101</v>
      </c>
      <c r="L13" s="3" t="s">
        <v>102</v>
      </c>
    </row>
    <row r="14">
      <c r="A14" s="3" t="s">
        <v>103</v>
      </c>
      <c r="B14" s="4">
        <v>1.4044958306265992E18</v>
      </c>
      <c r="C14" s="3" t="s">
        <v>23</v>
      </c>
      <c r="D14" s="3" t="s">
        <v>104</v>
      </c>
      <c r="E14" s="4">
        <v>7.067113983524209E17</v>
      </c>
      <c r="F14" s="3" t="s">
        <v>105</v>
      </c>
      <c r="G14" s="3" t="s">
        <v>36</v>
      </c>
      <c r="H14" s="4">
        <v>1.78034803625E12</v>
      </c>
      <c r="I14" s="4">
        <v>1.4044983157013873E18</v>
      </c>
      <c r="J14" s="4">
        <v>1.5111139315597967E18</v>
      </c>
      <c r="K14" s="6" t="s">
        <v>106</v>
      </c>
      <c r="L14" s="3" t="s">
        <v>107</v>
      </c>
      <c r="M14" s="3" t="s">
        <v>108</v>
      </c>
    </row>
    <row r="15">
      <c r="A15" s="3" t="s">
        <v>109</v>
      </c>
      <c r="B15" s="4">
        <v>1.4044958306265992E18</v>
      </c>
      <c r="C15" s="3" t="s">
        <v>23</v>
      </c>
      <c r="D15" s="3" t="s">
        <v>110</v>
      </c>
      <c r="E15" s="4">
        <v>5.983647041083146E17</v>
      </c>
      <c r="F15" s="3" t="s">
        <v>87</v>
      </c>
      <c r="G15" s="3" t="s">
        <v>88</v>
      </c>
      <c r="H15" s="4">
        <v>1.780383814312E12</v>
      </c>
      <c r="I15" s="4">
        <v>1.4044983157013873E18</v>
      </c>
      <c r="J15" s="4">
        <v>0.0</v>
      </c>
      <c r="K15" s="3" t="s">
        <v>111</v>
      </c>
      <c r="L15" s="3" t="s">
        <v>112</v>
      </c>
      <c r="M15" s="3" t="s">
        <v>113</v>
      </c>
    </row>
    <row r="16">
      <c r="A16" s="3" t="s">
        <v>114</v>
      </c>
      <c r="B16" s="4">
        <v>1.4044958306265992E18</v>
      </c>
      <c r="C16" s="3" t="s">
        <v>23</v>
      </c>
      <c r="D16" s="3" t="s">
        <v>115</v>
      </c>
      <c r="E16" s="4">
        <v>4.155495147415798E17</v>
      </c>
      <c r="F16" s="3" t="s">
        <v>116</v>
      </c>
      <c r="G16" s="3" t="s">
        <v>36</v>
      </c>
      <c r="H16" s="4">
        <v>1.780398214555E12</v>
      </c>
      <c r="I16" s="4">
        <v>1.4044983157013873E18</v>
      </c>
      <c r="J16" s="4">
        <v>1.5113243940754598E18</v>
      </c>
      <c r="K16" s="6" t="s">
        <v>117</v>
      </c>
      <c r="L16" s="3" t="s">
        <v>118</v>
      </c>
    </row>
    <row r="17">
      <c r="A17" s="3" t="s">
        <v>119</v>
      </c>
      <c r="B17" s="4">
        <v>1.4044958306265992E18</v>
      </c>
      <c r="C17" s="3" t="s">
        <v>23</v>
      </c>
      <c r="D17" s="3" t="s">
        <v>120</v>
      </c>
      <c r="E17" s="4">
        <v>4.1050691479168614E17</v>
      </c>
      <c r="F17" s="3" t="s">
        <v>121</v>
      </c>
      <c r="G17" s="3" t="s">
        <v>36</v>
      </c>
      <c r="H17" s="4">
        <v>1.78044153141E12</v>
      </c>
      <c r="I17" s="4">
        <v>1.4044983157013873E18</v>
      </c>
      <c r="J17" s="4">
        <v>1.5115060780918377E18</v>
      </c>
      <c r="K17" s="6" t="s">
        <v>122</v>
      </c>
      <c r="L17" s="3" t="s">
        <v>123</v>
      </c>
    </row>
    <row r="18">
      <c r="A18" s="3" t="s">
        <v>124</v>
      </c>
      <c r="B18" s="4">
        <v>1.4044958306265992E18</v>
      </c>
      <c r="C18" s="3" t="s">
        <v>23</v>
      </c>
      <c r="D18" s="3" t="s">
        <v>125</v>
      </c>
      <c r="E18" s="4">
        <v>7.385493123503227E17</v>
      </c>
      <c r="F18" s="3" t="s">
        <v>126</v>
      </c>
      <c r="G18" s="3" t="s">
        <v>36</v>
      </c>
      <c r="H18" s="4">
        <v>1.780450490425E12</v>
      </c>
      <c r="I18" s="4">
        <v>1.4044983157013873E18</v>
      </c>
      <c r="J18" s="4">
        <v>1.511543655352238E18</v>
      </c>
      <c r="K18" s="6" t="s">
        <v>127</v>
      </c>
      <c r="L18" s="3" t="s">
        <v>128</v>
      </c>
    </row>
    <row r="19">
      <c r="A19" s="3" t="s">
        <v>129</v>
      </c>
      <c r="B19" s="4">
        <v>1.4044958306265992E18</v>
      </c>
      <c r="C19" s="3" t="s">
        <v>23</v>
      </c>
      <c r="D19" s="3" t="s">
        <v>130</v>
      </c>
      <c r="E19" s="4">
        <v>2.4933535480348672E17</v>
      </c>
      <c r="F19" s="3" t="s">
        <v>131</v>
      </c>
      <c r="G19" s="3" t="s">
        <v>36</v>
      </c>
      <c r="H19" s="4">
        <v>1.780637926979E12</v>
      </c>
      <c r="I19" s="4">
        <v>1.4044983157013873E18</v>
      </c>
      <c r="J19" s="4">
        <v>1.5123298216679875E18</v>
      </c>
      <c r="K19" s="6" t="s">
        <v>132</v>
      </c>
      <c r="L19" s="3" t="s">
        <v>133</v>
      </c>
    </row>
    <row r="20">
      <c r="A20" s="3" t="s">
        <v>134</v>
      </c>
      <c r="B20" s="4">
        <v>1.4044958306265992E18</v>
      </c>
      <c r="C20" s="3" t="s">
        <v>23</v>
      </c>
      <c r="D20" s="3" t="s">
        <v>135</v>
      </c>
      <c r="E20" s="4">
        <v>5.021460299828429E17</v>
      </c>
      <c r="F20" s="3" t="s">
        <v>136</v>
      </c>
      <c r="G20" s="3" t="s">
        <v>36</v>
      </c>
      <c r="H20" s="4">
        <v>1.78068446562E12</v>
      </c>
      <c r="I20" s="4">
        <v>1.4044983157013873E18</v>
      </c>
      <c r="J20" s="4">
        <v>1.5125250185324178E18</v>
      </c>
      <c r="K20" s="6" t="s">
        <v>137</v>
      </c>
      <c r="L20" s="3" t="s">
        <v>138</v>
      </c>
    </row>
    <row r="21">
      <c r="A21" s="3" t="s">
        <v>139</v>
      </c>
      <c r="B21" s="4">
        <v>1.4044958306265992E18</v>
      </c>
      <c r="C21" s="3" t="s">
        <v>23</v>
      </c>
      <c r="D21" s="3" t="s">
        <v>140</v>
      </c>
      <c r="E21" s="4">
        <v>2.061607915927634E17</v>
      </c>
      <c r="F21" s="3" t="s">
        <v>141</v>
      </c>
      <c r="G21" s="3" t="s">
        <v>36</v>
      </c>
      <c r="H21" s="4">
        <v>1.780689728124E12</v>
      </c>
      <c r="I21" s="4">
        <v>1.4044983157013873E18</v>
      </c>
      <c r="J21" s="4">
        <v>1.5125470913759805E18</v>
      </c>
      <c r="K21" s="6" t="s">
        <v>142</v>
      </c>
      <c r="L21" s="3" t="s">
        <v>143</v>
      </c>
      <c r="M21" s="3" t="s">
        <v>144</v>
      </c>
    </row>
    <row r="22">
      <c r="A22" s="3" t="s">
        <v>145</v>
      </c>
      <c r="B22" s="4">
        <v>1.4044958306265992E18</v>
      </c>
      <c r="C22" s="3" t="s">
        <v>23</v>
      </c>
      <c r="D22" s="3" t="s">
        <v>146</v>
      </c>
      <c r="E22" s="4">
        <v>4.226226078047273E17</v>
      </c>
      <c r="F22" s="3" t="s">
        <v>25</v>
      </c>
      <c r="G22" s="3" t="s">
        <v>36</v>
      </c>
      <c r="H22" s="4">
        <v>1.780693544073E12</v>
      </c>
      <c r="I22" s="4">
        <v>1.4044983157013873E18</v>
      </c>
      <c r="J22" s="4">
        <v>1.51256309630711E18</v>
      </c>
      <c r="K22" s="6" t="s">
        <v>147</v>
      </c>
      <c r="L22" s="3" t="s">
        <v>148</v>
      </c>
    </row>
    <row r="23">
      <c r="A23" s="3" t="s">
        <v>149</v>
      </c>
      <c r="B23" s="4">
        <v>1.4044958306265992E18</v>
      </c>
      <c r="C23" s="3" t="s">
        <v>23</v>
      </c>
      <c r="D23" s="3" t="s">
        <v>150</v>
      </c>
      <c r="E23" s="4">
        <v>1.139740420662907E18</v>
      </c>
      <c r="F23" s="3" t="s">
        <v>151</v>
      </c>
      <c r="G23" s="3" t="s">
        <v>36</v>
      </c>
      <c r="H23" s="4">
        <v>1.780697628795E12</v>
      </c>
      <c r="I23" s="4">
        <v>1.4044983157013873E18</v>
      </c>
      <c r="J23" s="4">
        <v>1.5125802287177444E18</v>
      </c>
      <c r="K23" s="6" t="s">
        <v>152</v>
      </c>
      <c r="L23" s="3" t="s">
        <v>153</v>
      </c>
    </row>
    <row r="24">
      <c r="A24" s="3" t="s">
        <v>154</v>
      </c>
      <c r="B24" s="4">
        <v>1.4044958306265992E18</v>
      </c>
      <c r="C24" s="3" t="s">
        <v>23</v>
      </c>
      <c r="D24" s="3" t="s">
        <v>155</v>
      </c>
      <c r="E24" s="4">
        <v>2.072765135009874E17</v>
      </c>
      <c r="F24" s="3" t="s">
        <v>156</v>
      </c>
      <c r="G24" s="3" t="s">
        <v>88</v>
      </c>
      <c r="H24" s="4">
        <v>1.780767938267E12</v>
      </c>
      <c r="I24" s="4">
        <v>1.4044983157013873E18</v>
      </c>
      <c r="J24" s="4">
        <v>0.0</v>
      </c>
      <c r="K24" s="3" t="s">
        <v>157</v>
      </c>
      <c r="L24" s="3" t="s">
        <v>158</v>
      </c>
    </row>
    <row r="25">
      <c r="A25" s="3" t="s">
        <v>159</v>
      </c>
      <c r="B25" s="4">
        <v>1.4044958306265992E18</v>
      </c>
      <c r="C25" s="3" t="s">
        <v>23</v>
      </c>
      <c r="D25" s="3" t="s">
        <v>160</v>
      </c>
      <c r="E25" s="4">
        <v>2.072765135009874E17</v>
      </c>
      <c r="F25" s="3" t="s">
        <v>156</v>
      </c>
      <c r="G25" s="3" t="s">
        <v>36</v>
      </c>
      <c r="H25" s="4">
        <v>1.780770185737E12</v>
      </c>
      <c r="I25" s="4">
        <v>1.4044983157013873E18</v>
      </c>
      <c r="J25" s="4">
        <v>1.5128845547702845E18</v>
      </c>
      <c r="K25" s="6" t="s">
        <v>161</v>
      </c>
      <c r="L25" s="3" t="s">
        <v>162</v>
      </c>
    </row>
    <row r="26">
      <c r="A26" s="3" t="s">
        <v>35</v>
      </c>
      <c r="B26" s="4">
        <v>1.4044958306265992E18</v>
      </c>
      <c r="C26" s="3" t="s">
        <v>23</v>
      </c>
      <c r="D26" s="3" t="s">
        <v>31</v>
      </c>
      <c r="E26" s="4">
        <v>4.5118128452665344E17</v>
      </c>
      <c r="F26" s="3" t="s">
        <v>33</v>
      </c>
      <c r="G26" s="3" t="s">
        <v>36</v>
      </c>
      <c r="H26" s="4">
        <v>1.785269658672E12</v>
      </c>
      <c r="I26" s="4">
        <v>1.4044983157013873E18</v>
      </c>
      <c r="J26" s="4">
        <v>1.531756712074416E18</v>
      </c>
      <c r="K26" s="6" t="s">
        <v>163</v>
      </c>
      <c r="L26" s="3" t="s">
        <v>37</v>
      </c>
    </row>
    <row r="27">
      <c r="A27" s="3" t="s">
        <v>42</v>
      </c>
      <c r="B27" s="4">
        <v>1.4044958306265992E18</v>
      </c>
      <c r="C27" s="3" t="s">
        <v>23</v>
      </c>
      <c r="D27" s="3" t="s">
        <v>40</v>
      </c>
      <c r="E27" s="4">
        <v>2.143637573824676E17</v>
      </c>
      <c r="F27" s="3" t="s">
        <v>41</v>
      </c>
      <c r="G27" s="3" t="s">
        <v>36</v>
      </c>
      <c r="H27" s="4">
        <v>1.785288783192E12</v>
      </c>
      <c r="I27" s="4">
        <v>1.4044983157013873E18</v>
      </c>
      <c r="J27" s="4">
        <v>1.5318369262843988E18</v>
      </c>
      <c r="K27" s="6" t="s">
        <v>164</v>
      </c>
      <c r="L27" s="3" t="s">
        <v>43</v>
      </c>
    </row>
    <row r="28">
      <c r="A28" s="3" t="s">
        <v>47</v>
      </c>
      <c r="B28" s="4">
        <v>1.4044958306265992E18</v>
      </c>
      <c r="C28" s="3" t="s">
        <v>23</v>
      </c>
      <c r="D28" s="3" t="s">
        <v>45</v>
      </c>
      <c r="E28" s="4">
        <v>2.0584221415112704E17</v>
      </c>
      <c r="F28" s="3" t="s">
        <v>46</v>
      </c>
      <c r="G28" s="3" t="s">
        <v>36</v>
      </c>
      <c r="H28" s="4">
        <v>1.785401937781E12</v>
      </c>
      <c r="I28" s="4">
        <v>1.4044983157013873E18</v>
      </c>
      <c r="J28" s="4">
        <v>1.5323115306857308E18</v>
      </c>
      <c r="K28" s="6" t="s">
        <v>165</v>
      </c>
      <c r="L28" s="3" t="s">
        <v>166</v>
      </c>
      <c r="M28" s="3" t="s">
        <v>167</v>
      </c>
    </row>
  </sheetData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0"/>
    <hyperlink r:id="rId10" ref="K12"/>
    <hyperlink r:id="rId11" ref="K13"/>
    <hyperlink r:id="rId12" ref="K14"/>
    <hyperlink r:id="rId13" ref="K16"/>
    <hyperlink r:id="rId14" ref="K17"/>
    <hyperlink r:id="rId15" ref="K18"/>
    <hyperlink r:id="rId16" ref="K19"/>
    <hyperlink r:id="rId17" location="gid=0" ref="K20"/>
    <hyperlink r:id="rId18" ref="K21"/>
    <hyperlink r:id="rId19" ref="K22"/>
    <hyperlink r:id="rId20" ref="K23"/>
    <hyperlink r:id="rId21" ref="K25"/>
    <hyperlink r:id="rId22" ref="K26"/>
    <hyperlink r:id="rId23" ref="K27"/>
    <hyperlink r:id="rId24" ref="K28"/>
  </hyperlinks>
  <drawing r:id="rId2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</v>
      </c>
      <c r="B1" s="3" t="s">
        <v>7</v>
      </c>
      <c r="C1" s="3" t="s">
        <v>8</v>
      </c>
      <c r="D1" s="3" t="s">
        <v>9</v>
      </c>
    </row>
    <row r="2">
      <c r="A2" s="4">
        <v>8.283812811411292E17</v>
      </c>
      <c r="B2" s="3" t="s">
        <v>11</v>
      </c>
      <c r="C2" s="4">
        <v>3.840486650454999E17</v>
      </c>
      <c r="D2" s="3" t="s">
        <v>12</v>
      </c>
    </row>
    <row r="3">
      <c r="A3" s="4">
        <v>8.283812811411292E17</v>
      </c>
      <c r="B3" s="3" t="s">
        <v>18</v>
      </c>
      <c r="C3" s="4">
        <v>3.840486650454999E17</v>
      </c>
      <c r="D3" s="3" t="s">
        <v>12</v>
      </c>
    </row>
    <row r="4">
      <c r="A4" s="4">
        <v>8.283812811411292E17</v>
      </c>
      <c r="B4" s="3" t="s">
        <v>23</v>
      </c>
      <c r="C4" s="4">
        <v>4.226226078047273E17</v>
      </c>
      <c r="D4" s="3" t="s">
        <v>25</v>
      </c>
    </row>
    <row r="5">
      <c r="A5" s="4">
        <v>8.283812811411292E17</v>
      </c>
      <c r="B5" s="3" t="s">
        <v>11</v>
      </c>
      <c r="C5" s="4">
        <v>4.226226078047273E17</v>
      </c>
      <c r="D5" s="3" t="s">
        <v>25</v>
      </c>
    </row>
    <row r="6">
      <c r="A6" s="4">
        <v>8.283812811411292E17</v>
      </c>
      <c r="B6" s="3" t="s">
        <v>11</v>
      </c>
      <c r="C6" s="4">
        <v>4.5620419887549645E17</v>
      </c>
      <c r="D6" s="3" t="s">
        <v>32</v>
      </c>
    </row>
  </sheetData>
  <drawing r:id="rId1"/>
</worksheet>
</file>